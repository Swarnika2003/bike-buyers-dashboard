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swarnika/Downloads/DataMaterials/"/>
    </mc:Choice>
  </mc:AlternateContent>
  <xr:revisionPtr revIDLastSave="0" documentId="13_ncr:1_{84215EA1-56BC-B140-ADC3-0137FDDDAAAA}" xr6:coauthVersionLast="47" xr6:coauthVersionMax="47" xr10:uidLastSave="{00000000-0000-0000-0000-000000000000}"/>
  <bookViews>
    <workbookView xWindow="0" yWindow="660" windowWidth="29400" windowHeight="16660"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ial_Status">#N/A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<sst xmlns="http://schemas.openxmlformats.org/spreadsheetml/2006/main" count="16266" uniqueCount="51">
  <si>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</si>
  <si>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</si>
  <si>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</si>
  <si>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</si>
  <si>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</si>
  <si>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</si>
  <si>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</si>
  <si>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</si>
  <si>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</si>
  <si>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</si>
  <si>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</si>
  <si>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</si>
  <si>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</si>
  <si>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</si>
  <si>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</si>
  <si>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</si>
  <si>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</si>
  <si>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</si>
  <si>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</si>
  <si>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</si>
  <si>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</si>
  <si>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</si>
  <si>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</si>
  <si>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</si>
  <si>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</si>
  <si>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</si>
  <si>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</si>
  <si>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</si>
  <si>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</si>
  <si>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</si>
  <si>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</si>
  <si>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</si>
  <si>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</si>
  <si>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</si>
  <si>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</si>
  <si>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</si>
  <si>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</si>
  <si>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</si>
  <si>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</si>
  <si>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</si>
  <si>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</si>
  <si>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Maritial Status</t>
  </si>
  <si>
    <t>Row Labels</t>
  </si>
  <si>
    <t>Grand Total</t>
  </si>
  <si>
    <t>Column Labels</t>
  </si>
  <si>
    <t>Average of Income</t>
  </si>
  <si>
    <t>Count of Purchased Bike</t>
  </si>
  <si>
    <t>10 Miles +</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</si>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</sst>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
      <sz val="11"/>
      <color theme="0"/>
      <name val="Calibri (Body)"/>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xf numFmtId="0" fontId="0" fillId="33" borderId="0" xfId="0" applyFill="1" applyAlignment="1">
      <alignment horizontal="center" vertical="center"/>
    </xf>
    <xf numFmtId="0" fontId="0" fillId="34" borderId="0" xfId="0" applyFill="1"/>
    <xf numFmtId="0" fontId="20" fillId="34" borderId="0" xfId="0" applyFont="1" applyFill="1"/>
    <xf numFmtId="0" fontId="17" fillId="34" borderId="0" xfId="0" applyFont="1" applyFill="1"/>
    <xf numFmtId="0" fontId="21" fillId="34" borderId="0" xfId="0" applyFont="1" applyFill="1" applyAlignment="1">
      <alignment vertical="top"/>
    </xf>
    <xf numFmtId="0" fontId="17" fillId="34" borderId="0" xfId="0" applyFont="1" applyFill="1" applyAlignment="1">
      <alignment vertical="top"/>
    </xf>
    <xf numFmtId="0" fontId="0" fillId="34" borderId="0" xfId="0" applyFill="1" applyAlignment="1">
      <alignment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Income per purchase</a:t>
            </a:r>
          </a:p>
        </c:rich>
      </c:tx>
      <c:layout>
        <c:manualLayout>
          <c:xMode val="edge"/>
          <c:yMode val="edge"/>
          <c:x val="0.31683205695178512"/>
          <c:y val="8.1300813008130079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98906985941823"/>
          <c:y val="0.18236753942342576"/>
          <c:w val="0.7465951443569554"/>
          <c:h val="0.7143033950024539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74000</c:v>
                </c:pt>
                <c:pt idx="1">
                  <c:v>95000</c:v>
                </c:pt>
              </c:numCache>
            </c:numRef>
          </c:val>
          <c:extLst>
            <c:ext xmlns:c16="http://schemas.microsoft.com/office/drawing/2014/chart" uri="{C3380CC4-5D6E-409C-BE32-E72D297353CC}">
              <c16:uniqueId val="{00000000-B5A1-FD46-99CF-8BFCEEA0558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58000</c:v>
                </c:pt>
                <c:pt idx="1">
                  <c:v>82500</c:v>
                </c:pt>
              </c:numCache>
            </c:numRef>
          </c:val>
          <c:extLst>
            <c:ext xmlns:c16="http://schemas.microsoft.com/office/drawing/2014/chart" uri="{C3380CC4-5D6E-409C-BE32-E72D297353CC}">
              <c16:uniqueId val="{00000001-B5A1-FD46-99CF-8BFCEEA05580}"/>
            </c:ext>
          </c:extLst>
        </c:ser>
        <c:dLbls>
          <c:showLegendKey val="0"/>
          <c:showVal val="0"/>
          <c:showCatName val="0"/>
          <c:showSerName val="0"/>
          <c:showPercent val="0"/>
          <c:showBubbleSize val="0"/>
        </c:dLbls>
        <c:gapWidth val="219"/>
        <c:overlap val="-27"/>
        <c:axId val="577840320"/>
        <c:axId val="577833152"/>
      </c:barChart>
      <c:catAx>
        <c:axId val="577840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8663466724193721"/>
              <c:y val="0.951653292940926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577833152"/>
        <c:crosses val="autoZero"/>
        <c:auto val="1"/>
        <c:lblAlgn val="ctr"/>
        <c:lblOffset val="100"/>
        <c:noMultiLvlLbl val="0"/>
      </c:catAx>
      <c:valAx>
        <c:axId val="577833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993150684931507E-2"/>
              <c:y val="0.48059599257409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5778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6</c:v>
                </c:pt>
                <c:pt idx="3">
                  <c:v>1</c:v>
                </c:pt>
                <c:pt idx="4">
                  <c:v>2</c:v>
                </c:pt>
              </c:numCache>
            </c:numRef>
          </c:val>
          <c:smooth val="0"/>
          <c:extLst>
            <c:ext xmlns:c16="http://schemas.microsoft.com/office/drawing/2014/chart" uri="{C3380CC4-5D6E-409C-BE32-E72D297353CC}">
              <c16:uniqueId val="{00000000-8B60-FF4E-9023-6582DA3DD2AE}"/>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8B60-FF4E-9023-6582DA3DD2AE}"/>
            </c:ext>
          </c:extLst>
        </c:ser>
        <c:dLbls>
          <c:showLegendKey val="0"/>
          <c:showVal val="0"/>
          <c:showCatName val="0"/>
          <c:showSerName val="0"/>
          <c:showPercent val="0"/>
          <c:showBubbleSize val="0"/>
        </c:dLbls>
        <c:smooth val="0"/>
        <c:axId val="608537664"/>
        <c:axId val="608534976"/>
      </c:lineChart>
      <c:catAx>
        <c:axId val="60853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08534976"/>
        <c:crosses val="autoZero"/>
        <c:auto val="1"/>
        <c:lblAlgn val="ctr"/>
        <c:lblOffset val="100"/>
        <c:noMultiLvlLbl val="0"/>
      </c:catAx>
      <c:valAx>
        <c:axId val="6085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085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table'!$A$42:$A$44</c:f>
              <c:strCache>
                <c:ptCount val="2"/>
                <c:pt idx="0">
                  <c:v>Middle Age</c:v>
                </c:pt>
                <c:pt idx="1">
                  <c:v>Old</c:v>
                </c:pt>
              </c:strCache>
            </c:strRef>
          </c:cat>
          <c:val>
            <c:numRef>
              <c:f>'pivot table'!$B$42:$B$44</c:f>
              <c:numCache>
                <c:formatCode>General</c:formatCode>
                <c:ptCount val="2"/>
                <c:pt idx="0">
                  <c:v>6</c:v>
                </c:pt>
                <c:pt idx="1">
                  <c:v>3</c:v>
                </c:pt>
              </c:numCache>
            </c:numRef>
          </c:val>
          <c:smooth val="0"/>
          <c:extLst>
            <c:ext xmlns:c16="http://schemas.microsoft.com/office/drawing/2014/chart" uri="{C3380CC4-5D6E-409C-BE32-E72D297353CC}">
              <c16:uniqueId val="{00000000-1532-A64C-85EA-037179D9D3D9}"/>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table'!$A$42:$A$44</c:f>
              <c:strCache>
                <c:ptCount val="2"/>
                <c:pt idx="0">
                  <c:v>Middle Age</c:v>
                </c:pt>
                <c:pt idx="1">
                  <c:v>Old</c:v>
                </c:pt>
              </c:strCache>
            </c:strRef>
          </c:cat>
          <c:val>
            <c:numRef>
              <c:f>'pivot table'!$C$42:$C$44</c:f>
              <c:numCache>
                <c:formatCode>General</c:formatCode>
                <c:ptCount val="2"/>
                <c:pt idx="0">
                  <c:v>7</c:v>
                </c:pt>
                <c:pt idx="1">
                  <c:v>2</c:v>
                </c:pt>
              </c:numCache>
            </c:numRef>
          </c:val>
          <c:smooth val="0"/>
          <c:extLst>
            <c:ext xmlns:c16="http://schemas.microsoft.com/office/drawing/2014/chart" uri="{C3380CC4-5D6E-409C-BE32-E72D297353CC}">
              <c16:uniqueId val="{00000001-1532-A64C-85EA-037179D9D3D9}"/>
            </c:ext>
          </c:extLst>
        </c:ser>
        <c:dLbls>
          <c:showLegendKey val="0"/>
          <c:showVal val="0"/>
          <c:showCatName val="0"/>
          <c:showSerName val="0"/>
          <c:showPercent val="0"/>
          <c:showBubbleSize val="0"/>
        </c:dLbls>
        <c:marker val="1"/>
        <c:smooth val="0"/>
        <c:axId val="612718272"/>
        <c:axId val="612718720"/>
      </c:lineChart>
      <c:catAx>
        <c:axId val="612718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12718720"/>
        <c:crosses val="autoZero"/>
        <c:auto val="1"/>
        <c:lblAlgn val="ctr"/>
        <c:lblOffset val="100"/>
        <c:noMultiLvlLbl val="0"/>
      </c:catAx>
      <c:valAx>
        <c:axId val="61271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1271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Income per purchase</a:t>
            </a:r>
          </a:p>
        </c:rich>
      </c:tx>
      <c:layout>
        <c:manualLayout>
          <c:xMode val="edge"/>
          <c:yMode val="edge"/>
          <c:x val="0.31683205695178512"/>
          <c:y val="8.1300813008130079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98906985941823"/>
          <c:y val="0.18236753942342576"/>
          <c:w val="0.7465951443569554"/>
          <c:h val="0.7143033950024539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74000</c:v>
                </c:pt>
                <c:pt idx="1">
                  <c:v>95000</c:v>
                </c:pt>
              </c:numCache>
            </c:numRef>
          </c:val>
          <c:extLst>
            <c:ext xmlns:c16="http://schemas.microsoft.com/office/drawing/2014/chart" uri="{C3380CC4-5D6E-409C-BE32-E72D297353CC}">
              <c16:uniqueId val="{00000000-0352-5C40-A684-02250688549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58000</c:v>
                </c:pt>
                <c:pt idx="1">
                  <c:v>82500</c:v>
                </c:pt>
              </c:numCache>
            </c:numRef>
          </c:val>
          <c:extLst>
            <c:ext xmlns:c16="http://schemas.microsoft.com/office/drawing/2014/chart" uri="{C3380CC4-5D6E-409C-BE32-E72D297353CC}">
              <c16:uniqueId val="{00000001-0352-5C40-A684-02250688549F}"/>
            </c:ext>
          </c:extLst>
        </c:ser>
        <c:dLbls>
          <c:showLegendKey val="0"/>
          <c:showVal val="0"/>
          <c:showCatName val="0"/>
          <c:showSerName val="0"/>
          <c:showPercent val="0"/>
          <c:showBubbleSize val="0"/>
        </c:dLbls>
        <c:gapWidth val="219"/>
        <c:overlap val="-27"/>
        <c:axId val="577840320"/>
        <c:axId val="577833152"/>
      </c:barChart>
      <c:catAx>
        <c:axId val="577840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8663466724193721"/>
              <c:y val="0.951653292940926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577833152"/>
        <c:crosses val="autoZero"/>
        <c:auto val="1"/>
        <c:lblAlgn val="ctr"/>
        <c:lblOffset val="100"/>
        <c:noMultiLvlLbl val="0"/>
      </c:catAx>
      <c:valAx>
        <c:axId val="577833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993150684931507E-2"/>
              <c:y val="0.48059599257409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5778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6</c:v>
                </c:pt>
                <c:pt idx="3">
                  <c:v>1</c:v>
                </c:pt>
                <c:pt idx="4">
                  <c:v>2</c:v>
                </c:pt>
              </c:numCache>
            </c:numRef>
          </c:val>
          <c:smooth val="0"/>
          <c:extLst>
            <c:ext xmlns:c16="http://schemas.microsoft.com/office/drawing/2014/chart" uri="{C3380CC4-5D6E-409C-BE32-E72D297353CC}">
              <c16:uniqueId val="{00000000-1759-4F4D-B070-9A83E8E7943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1759-4F4D-B070-9A83E8E79435}"/>
            </c:ext>
          </c:extLst>
        </c:ser>
        <c:dLbls>
          <c:showLegendKey val="0"/>
          <c:showVal val="0"/>
          <c:showCatName val="0"/>
          <c:showSerName val="0"/>
          <c:showPercent val="0"/>
          <c:showBubbleSize val="0"/>
        </c:dLbls>
        <c:smooth val="0"/>
        <c:axId val="608537664"/>
        <c:axId val="608534976"/>
      </c:lineChart>
      <c:catAx>
        <c:axId val="60853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08534976"/>
        <c:crosses val="autoZero"/>
        <c:auto val="1"/>
        <c:lblAlgn val="ctr"/>
        <c:lblOffset val="100"/>
        <c:noMultiLvlLbl val="0"/>
      </c:catAx>
      <c:valAx>
        <c:axId val="6085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085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table'!$A$42:$A$44</c:f>
              <c:strCache>
                <c:ptCount val="2"/>
                <c:pt idx="0">
                  <c:v>Middle Age</c:v>
                </c:pt>
                <c:pt idx="1">
                  <c:v>Old</c:v>
                </c:pt>
              </c:strCache>
            </c:strRef>
          </c:cat>
          <c:val>
            <c:numRef>
              <c:f>'pivot table'!$B$42:$B$44</c:f>
              <c:numCache>
                <c:formatCode>General</c:formatCode>
                <c:ptCount val="2"/>
                <c:pt idx="0">
                  <c:v>6</c:v>
                </c:pt>
                <c:pt idx="1">
                  <c:v>3</c:v>
                </c:pt>
              </c:numCache>
            </c:numRef>
          </c:val>
          <c:smooth val="0"/>
          <c:extLst>
            <c:ext xmlns:c16="http://schemas.microsoft.com/office/drawing/2014/chart" uri="{C3380CC4-5D6E-409C-BE32-E72D297353CC}">
              <c16:uniqueId val="{00000000-3A5B-B646-8DD7-1D2CE4312B0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table'!$A$42:$A$44</c:f>
              <c:strCache>
                <c:ptCount val="2"/>
                <c:pt idx="0">
                  <c:v>Middle Age</c:v>
                </c:pt>
                <c:pt idx="1">
                  <c:v>Old</c:v>
                </c:pt>
              </c:strCache>
            </c:strRef>
          </c:cat>
          <c:val>
            <c:numRef>
              <c:f>'pivot table'!$C$42:$C$44</c:f>
              <c:numCache>
                <c:formatCode>General</c:formatCode>
                <c:ptCount val="2"/>
                <c:pt idx="0">
                  <c:v>7</c:v>
                </c:pt>
                <c:pt idx="1">
                  <c:v>2</c:v>
                </c:pt>
              </c:numCache>
            </c:numRef>
          </c:val>
          <c:smooth val="0"/>
          <c:extLst>
            <c:ext xmlns:c16="http://schemas.microsoft.com/office/drawing/2014/chart" uri="{C3380CC4-5D6E-409C-BE32-E72D297353CC}">
              <c16:uniqueId val="{00000001-3A5B-B646-8DD7-1D2CE4312B06}"/>
            </c:ext>
          </c:extLst>
        </c:ser>
        <c:dLbls>
          <c:showLegendKey val="0"/>
          <c:showVal val="0"/>
          <c:showCatName val="0"/>
          <c:showSerName val="0"/>
          <c:showPercent val="0"/>
          <c:showBubbleSize val="0"/>
        </c:dLbls>
        <c:marker val="1"/>
        <c:smooth val="0"/>
        <c:axId val="612718272"/>
        <c:axId val="612718720"/>
      </c:lineChart>
      <c:catAx>
        <c:axId val="612718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12718720"/>
        <c:crosses val="autoZero"/>
        <c:auto val="1"/>
        <c:lblAlgn val="ctr"/>
        <c:lblOffset val="100"/>
        <c:noMultiLvlLbl val="0"/>
      </c:catAx>
      <c:valAx>
        <c:axId val="61271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1271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7</xdr:row>
      <xdr:rowOff>0</xdr:rowOff>
    </xdr:from>
    <xdr:to>
      <xdr:col>6</xdr:col>
      <xdr:colOff>330200</xdr:colOff>
      <xdr:row>20</xdr:row>
      <xdr:rowOff>177800</xdr:rowOff>
    </xdr:to>
    <xdr:graphicFrame macro="">
      <xdr:nvGraphicFramePr>
        <xdr:cNvPr id="2" name="Chart 1">
          <a:extLst>
            <a:ext uri="{FF2B5EF4-FFF2-40B4-BE49-F238E27FC236}">
              <a16:creationId xmlns:a16="http://schemas.microsoft.com/office/drawing/2014/main" id="{0250433A-186C-E148-B3A5-53EC48C64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88900</xdr:colOff>
      <xdr:row>20</xdr:row>
      <xdr:rowOff>177800</xdr:rowOff>
    </xdr:from>
    <xdr:to>
      <xdr:col>11</xdr:col>
      <xdr:colOff>406400</xdr:colOff>
      <xdr:row>38</xdr:row>
      <xdr:rowOff>25400</xdr:rowOff>
    </xdr:to>
    <xdr:graphicFrame macro="">
      <xdr:nvGraphicFramePr>
        <xdr:cNvPr id="3" name="Chart 2">
          <a:extLst>
            <a:ext uri="{FF2B5EF4-FFF2-40B4-BE49-F238E27FC236}">
              <a16:creationId xmlns:a16="http://schemas.microsoft.com/office/drawing/2014/main" id="{FB8F9140-E492-6744-BC7B-FB38E82E9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330200</xdr:colOff>
      <xdr:row>7</xdr:row>
      <xdr:rowOff>0</xdr:rowOff>
    </xdr:from>
    <xdr:to>
      <xdr:col>11</xdr:col>
      <xdr:colOff>774700</xdr:colOff>
      <xdr:row>20</xdr:row>
      <xdr:rowOff>177800</xdr:rowOff>
    </xdr:to>
    <xdr:graphicFrame macro="">
      <xdr:nvGraphicFramePr>
        <xdr:cNvPr id="4" name="Chart 3">
          <a:extLst>
            <a:ext uri="{FF2B5EF4-FFF2-40B4-BE49-F238E27FC236}">
              <a16:creationId xmlns:a16="http://schemas.microsoft.com/office/drawing/2014/main" id="{BAC01417-B62A-6741-92C5-7E7258F4D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787400</xdr:colOff>
      <xdr:row>7</xdr:row>
      <xdr:rowOff>0</xdr:rowOff>
    </xdr:from>
    <xdr:to>
      <xdr:col>14</xdr:col>
      <xdr:colOff>139700</xdr:colOff>
      <xdr:row>11</xdr:row>
      <xdr:rowOff>241300</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6F9DE665-D8A3-81A2-4766-D6C5F206DDB3}"/>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9867900" y="1930400"/>
              <a:ext cx="1828800" cy="100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787400</xdr:colOff>
      <xdr:row>15</xdr:row>
      <xdr:rowOff>139701</xdr:rowOff>
    </xdr:from>
    <xdr:to>
      <xdr:col>14</xdr:col>
      <xdr:colOff>139700</xdr:colOff>
      <xdr:row>24</xdr:row>
      <xdr:rowOff>114301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1CE9675-625A-64C6-08A0-8D5E0EC21FB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867900" y="4191001"/>
              <a:ext cx="1828800" cy="168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787400</xdr:colOff>
      <xdr:row>11</xdr:row>
      <xdr:rowOff>254001</xdr:rowOff>
    </xdr:from>
    <xdr:to>
      <xdr:col>14</xdr:col>
      <xdr:colOff>139700</xdr:colOff>
      <xdr:row>15</xdr:row>
      <xdr:rowOff>114301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2272E5A-67DF-F53D-4B1C-F51CF41338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67900" y="29464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12700</xdr:rowOff>
    </xdr:from>
    <xdr:to>
      <xdr:col>12</xdr:col>
      <xdr:colOff>317500</xdr:colOff>
      <xdr:row>17</xdr:row>
      <xdr:rowOff>25400</xdr:rowOff>
    </xdr:to>
    <xdr:graphicFrame macro="">
      <xdr:nvGraphicFramePr>
        <xdr:cNvPr id="3" name="Chart 2">
          <a:extLst>
            <a:ext uri="{FF2B5EF4-FFF2-40B4-BE49-F238E27FC236}">
              <a16:creationId xmlns:a16="http://schemas.microsoft.com/office/drawing/2014/main" id="{001F23F4-D6D3-A8B5-4AED-3841BDE06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31750</xdr:rowOff>
    </xdr:from>
    <xdr:to>
      <xdr:col>11</xdr:col>
      <xdr:colOff>139700</xdr:colOff>
      <xdr:row>35</xdr:row>
      <xdr:rowOff>107950</xdr:rowOff>
    </xdr:to>
    <xdr:graphicFrame macro="">
      <xdr:nvGraphicFramePr>
        <xdr:cNvPr id="6" name="Chart 5">
          <a:extLst>
            <a:ext uri="{FF2B5EF4-FFF2-40B4-BE49-F238E27FC236}">
              <a16:creationId xmlns:a16="http://schemas.microsoft.com/office/drawing/2014/main" id="{2E4D69E2-95CA-3855-F310-953110701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101600</xdr:colOff>
      <xdr:row>40</xdr:row>
      <xdr:rowOff>95250</xdr:rowOff>
    </xdr:from>
    <xdr:to>
      <xdr:col>12</xdr:col>
      <xdr:colOff>0</xdr:colOff>
      <xdr:row>54</xdr:row>
      <xdr:rowOff>171450</xdr:rowOff>
    </xdr:to>
    <xdr:graphicFrame macro="">
      <xdr:nvGraphicFramePr>
        <xdr:cNvPr id="4" name="Chart 3">
          <a:extLst>
            <a:ext uri="{FF2B5EF4-FFF2-40B4-BE49-F238E27FC236}">
              <a16:creationId xmlns:a16="http://schemas.microsoft.com/office/drawing/2014/main" id="{9F56B44D-BF7B-1A74-3DEE-7F176E24A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ika karki" refreshedDate="46154.938890509256" createdVersion="8" refreshedVersion="8" minRefreshableVersion="3" recordCount="1000" xr:uid="{C046ADC9-EE37-1540-81CC-E02DDCBE1A1C}">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50847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AB868E-C9FC-B940-8915-B6178E56CACE}"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11">
      <pivotArea outline="0" collapsedLevelsAreSubtotals="1"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E0EFAD-FDB9-2641-B1A6-49815B88EF95}"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A7A1A4-0EA6-FB43-B02B-B78AA9E0827C}"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558A1B12-1B03-4543-904B-B4028781E17C}" sourceName="Maritial Status">
  <pivotTables>
    <pivotTable tabId="3" name="PivotTable1"/>
    <pivotTable tabId="3" name="PivotTable2"/>
    <pivotTable tabId="3" name="PivotTable3"/>
  </pivotTables>
  <data>
    <tabular pivotCacheId="165084749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97C8456-9D0D-D749-95E5-836CF1AFFDF6}" sourceName="Education">
  <pivotTables>
    <pivotTable tabId="3" name="PivotTable1"/>
    <pivotTable tabId="3" name="PivotTable2"/>
    <pivotTable tabId="3" name="PivotTable3"/>
  </pivotTables>
  <data>
    <tabular pivotCacheId="1650847492">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E24B13-6959-3547-AAD3-06EF6BA7EA21}" sourceName="Region">
  <pivotTables>
    <pivotTable tabId="3" name="PivotTable1"/>
    <pivotTable tabId="3" name="PivotTable2"/>
    <pivotTable tabId="3" name="PivotTable3"/>
  </pivotTables>
  <data>
    <tabular pivotCacheId="165084749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742677A6-DBF1-9D4D-90C6-EC9C49EAB9AD}" cache="Slicer_Maritial_Status" caption="Maritial Status" rowHeight="230716"/>
  <slicer name="Education" xr10:uid="{A17B5C6A-41F5-BB47-BD88-22D2C5AE02C8}" cache="Slicer_Education" caption="Education" rowHeight="230716"/>
  <slicer name="Region" xr10:uid="{715A1770-A7B4-B74D-9BD6-B1A592FE7242}"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2"/>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B9D9-23D4-7C4F-A428-DD3D70D22072}">
  <dimension ref="A1:N1001"/>
  <sheetViews>
    <sheetView topLeftCell="A963" workbookViewId="0">
      <selection activeCell="J57" sqref="J57"/>
    </sheetView>
  </sheetViews>
  <sheetFormatPr baseColWidth="10" defaultRowHeight="15" x14ac:dyDescent="0.2"/>
  <cols>
    <col min="1" max="14" width="16.83203125" customWidth="1"/>
  </cols>
  <sheetData>
    <row r="1" spans="1:14" x14ac:dyDescent="0.2">
      <c r="A1" t="s">
        <v>0</v>
      </c>
      <c r="B1" t="s">
        <v>41</v>
      </c>
      <c r="C1" t="s">
        <v>2</v>
      </c>
      <c r="D1"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IF(L2&gt;=55, "Old", IF(L2&gt;30, "Middle Age", IF(L2&lt;=30, "Adolescent", "Invalid")))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IF(L3&gt;=55, "Old", IF(L3&gt;30, "Middle Age", IF(L3&lt;=30, "Adolescent", "Invalid")))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IF(L67&gt;=55, "Old", IF(L67&gt;30, "Middle Age", IF(L67&lt;=30, "Adolescent", "Invalid")))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IF(L131&gt;=55, "Old", IF(L131&gt;30, "Middle Age", IF(L131&lt;=30, "Adolescent", "Invalid")))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47</v>
      </c>
      <c r="K195" t="s">
        <v>24</v>
      </c>
      <c r="L195">
        <v>41</v>
      </c>
      <c r="M195" t="str">
        <f t="shared" ref="M195:M258" si="3">IF(L195&gt;=55, "Old", IF(L195&gt;30, "Middle Age", IF(L195&lt;=30, "Adolescent", "Invalid")))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IF(L259&gt;=55, "Old", IF(L259&gt;30, "Middle Age", IF(L259&lt;=30, "Adolescent", "Invalid")))</f>
        <v>Middle Age</v>
      </c>
      <c r="N259" t="s">
        <v>15</v>
      </c>
    </row>
    <row r="260" spans="1:14" x14ac:dyDescent="0.2">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IF(L323&gt;=55, "Old", IF(L323&gt;30, "Middle Age", IF(L323&lt;=30, "Adolescent", "Invalid")))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IF(L387&gt;=55, "Old", IF(L387&gt;30, "Middle Age", IF(L387&lt;=30, "Adolescent", "Invalid")))</f>
        <v>Middle Age</v>
      </c>
      <c r="N387" t="s">
        <v>18</v>
      </c>
    </row>
    <row r="388" spans="1:14" x14ac:dyDescent="0.2">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IF(L451&gt;=55, "Old", IF(L451&gt;30, "Middle Age", IF(L451&lt;=30, "Adolescent", "Invalid")))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47</v>
      </c>
      <c r="K515" t="s">
        <v>32</v>
      </c>
      <c r="L515">
        <v>61</v>
      </c>
      <c r="M515" t="str">
        <f t="shared" ref="M515:M578" si="8">IF(L515&gt;=55, "Old", IF(L515&gt;30, "Middle Age", IF(L515&lt;=30, "Adolescent", "Invalid")))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IF(L579&gt;=55, "Old", IF(L579&gt;30, "Middle Age", IF(L579&lt;=30, "Adolescent", "Invalid")))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47</v>
      </c>
      <c r="K643" t="s">
        <v>32</v>
      </c>
      <c r="L643">
        <v>64</v>
      </c>
      <c r="M643" t="str">
        <f t="shared" ref="M643:M706" si="10">IF(L643&gt;=55, "Old", IF(L643&gt;30, "Middle Age", IF(L643&lt;=30, "Adolescent", "Invalid")))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47</v>
      </c>
      <c r="K707" t="s">
        <v>32</v>
      </c>
      <c r="L707">
        <v>59</v>
      </c>
      <c r="M707" t="str">
        <f t="shared" ref="M707:M770" si="11">IF(L707&gt;=55, "Old", IF(L707&gt;30, "Middle Age", IF(L707&lt;=30, "Adolescent", "Invalid")))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IF(L771&gt;=55, "Old", IF(L771&gt;30, "Middle Age", IF(L771&lt;=30, "Adolescent", "Invalid")))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IF(L835&gt;=55, "Old", IF(L835&gt;30, "Middle Age", IF(L835&lt;=30, "Adolescent", "Invalid")))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IF(L899&gt;=55, "Old", IF(L899&gt;30, "Middle Age", IF(L899&lt;=30, "Adolescent", "Invalid")))</f>
        <v>Adolescent</v>
      </c>
      <c r="N899" t="s">
        <v>18</v>
      </c>
    </row>
    <row r="900" spans="1:14" x14ac:dyDescent="0.2">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IF(L963&gt;=55, "Old", IF(L963&gt;30, "Middle Age", IF(L963&lt;=30, "Adolescent", "Invalid")))</f>
        <v>Old</v>
      </c>
      <c r="N963" t="s">
        <v>18</v>
      </c>
    </row>
    <row r="964" spans="1:14" x14ac:dyDescent="0.2">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B3C7B9D9-23D4-7C4F-A428-DD3D70D2207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3C75A-1DBB-5942-B8B3-915543CFD052}">
  <dimension ref="A1:O12"/>
  <sheetViews>
    <sheetView showGridLines="0" tabSelected="1" topLeftCell="A4" workbookViewId="0">
      <selection activeCell="P13" sqref="P13"/>
    </sheetView>
  </sheetViews>
  <sheetFormatPr baseColWidth="10" defaultRowHeight="15" x14ac:dyDescent="0.2"/>
  <sheetData>
    <row r="1" spans="1:15" x14ac:dyDescent="0.2">
      <c r="A1" s="10"/>
      <c r="B1" s="10"/>
      <c r="C1" s="10"/>
      <c r="D1" s="10"/>
      <c r="E1" s="10"/>
      <c r="F1" s="10"/>
      <c r="G1" s="10"/>
      <c r="H1" s="10"/>
      <c r="I1" s="10"/>
      <c r="J1" s="10"/>
      <c r="K1" s="10"/>
      <c r="L1" s="10"/>
      <c r="M1" s="10"/>
      <c r="N1" s="10"/>
      <c r="O1" s="10"/>
    </row>
    <row r="2" spans="1:15" x14ac:dyDescent="0.2">
      <c r="A2" s="10"/>
      <c r="B2" s="10"/>
      <c r="C2" s="10"/>
      <c r="D2" s="11"/>
      <c r="E2" s="10"/>
      <c r="F2" s="10"/>
      <c r="G2" s="10"/>
      <c r="H2" s="10"/>
      <c r="I2" s="10"/>
      <c r="J2" s="10"/>
      <c r="K2" s="10"/>
      <c r="L2" s="10"/>
      <c r="M2" s="10"/>
      <c r="N2" s="10"/>
      <c r="O2" s="10"/>
    </row>
    <row r="3" spans="1:15" x14ac:dyDescent="0.2">
      <c r="A3" s="10"/>
      <c r="B3" s="10"/>
      <c r="C3" s="10"/>
      <c r="D3" s="10"/>
      <c r="E3" s="10"/>
      <c r="F3" s="10"/>
      <c r="G3" s="10"/>
      <c r="H3" s="10"/>
      <c r="I3" s="10"/>
      <c r="J3" s="10"/>
      <c r="K3" s="10"/>
      <c r="L3" s="10"/>
      <c r="M3" s="10"/>
      <c r="N3" s="10"/>
      <c r="O3" s="10"/>
    </row>
    <row r="4" spans="1:15" x14ac:dyDescent="0.2">
      <c r="A4" s="10"/>
      <c r="B4" s="10"/>
      <c r="C4" s="10"/>
      <c r="D4" s="10"/>
      <c r="E4" s="10"/>
      <c r="F4" s="10"/>
      <c r="G4" s="10"/>
      <c r="H4" s="10"/>
      <c r="I4" s="10"/>
      <c r="J4" s="10"/>
      <c r="K4" s="10"/>
      <c r="L4" s="10"/>
      <c r="M4" s="10"/>
      <c r="N4" s="10"/>
      <c r="O4" s="10"/>
    </row>
    <row r="5" spans="1:15" ht="62" x14ac:dyDescent="0.2">
      <c r="A5" s="10"/>
      <c r="B5" s="10"/>
      <c r="C5" s="10"/>
      <c r="D5" s="13" t="s">
        <v>50</v>
      </c>
      <c r="E5" s="14"/>
      <c r="F5" s="15"/>
      <c r="G5" s="15"/>
      <c r="H5" s="15"/>
      <c r="I5" s="15"/>
      <c r="J5" s="15"/>
      <c r="K5" s="10"/>
      <c r="L5" s="10"/>
      <c r="M5" s="10"/>
      <c r="N5" s="10"/>
      <c r="O5" s="10"/>
    </row>
    <row r="6" spans="1:15" x14ac:dyDescent="0.2">
      <c r="A6" s="10"/>
      <c r="B6" s="10"/>
      <c r="C6" s="10"/>
      <c r="D6" s="12"/>
      <c r="E6" s="12"/>
      <c r="F6" s="10"/>
      <c r="G6" s="10"/>
      <c r="H6" s="10"/>
      <c r="I6" s="10"/>
      <c r="J6" s="10"/>
      <c r="K6" s="10"/>
      <c r="L6" s="10"/>
      <c r="M6" s="10"/>
      <c r="N6" s="10"/>
      <c r="O6" s="10"/>
    </row>
    <row r="7" spans="1:15" x14ac:dyDescent="0.2">
      <c r="A7" s="10"/>
      <c r="B7" s="10"/>
      <c r="C7" s="10"/>
      <c r="D7" s="10"/>
      <c r="E7" s="10"/>
      <c r="F7" s="10"/>
      <c r="G7" s="10"/>
      <c r="H7" s="10"/>
      <c r="I7" s="10"/>
      <c r="J7" s="10"/>
      <c r="K7" s="10"/>
      <c r="L7" s="10"/>
      <c r="M7" s="10"/>
      <c r="N7" s="10"/>
      <c r="O7" s="10"/>
    </row>
    <row r="8" spans="1:15" x14ac:dyDescent="0.2">
      <c r="A8" s="7"/>
      <c r="B8" s="7"/>
      <c r="C8" s="7"/>
      <c r="D8" s="7"/>
      <c r="E8" s="7"/>
      <c r="F8" s="7"/>
      <c r="G8" s="7"/>
      <c r="H8" s="7"/>
      <c r="I8" s="7"/>
      <c r="J8" s="7"/>
      <c r="K8" s="7"/>
      <c r="L8" s="7"/>
    </row>
    <row r="9" spans="1:15" x14ac:dyDescent="0.2">
      <c r="A9" s="7"/>
      <c r="B9" s="7"/>
      <c r="C9" s="7"/>
      <c r="D9" s="7"/>
      <c r="E9" s="7"/>
      <c r="F9" s="7"/>
      <c r="G9" s="7"/>
      <c r="H9" s="7"/>
      <c r="I9" s="7"/>
      <c r="J9" s="7"/>
      <c r="K9" s="7"/>
      <c r="L9" s="7"/>
    </row>
    <row r="10" spans="1:15" x14ac:dyDescent="0.2">
      <c r="A10" s="7"/>
      <c r="B10" s="7"/>
      <c r="C10" s="7"/>
      <c r="D10" s="7"/>
      <c r="E10" s="7"/>
      <c r="F10" s="7"/>
      <c r="G10" s="7"/>
      <c r="H10" s="7"/>
      <c r="I10" s="7"/>
      <c r="J10" s="7"/>
      <c r="K10" s="7"/>
      <c r="L10" s="7"/>
    </row>
    <row r="11" spans="1:15" x14ac:dyDescent="0.2">
      <c r="A11" s="7"/>
      <c r="B11" s="7"/>
      <c r="C11" s="7"/>
      <c r="D11" s="7"/>
      <c r="E11" s="7"/>
      <c r="F11" s="7"/>
      <c r="G11" s="7"/>
      <c r="H11" s="7"/>
      <c r="I11" s="7"/>
      <c r="J11" s="7"/>
      <c r="K11" s="7"/>
      <c r="L11" s="7"/>
    </row>
    <row r="12" spans="1:15" ht="62" x14ac:dyDescent="0.7">
      <c r="A12" s="8"/>
      <c r="B12" s="9"/>
      <c r="C12" s="9"/>
      <c r="D12" s="9"/>
      <c r="E12" s="9"/>
      <c r="F12" s="9"/>
      <c r="G12" s="9"/>
      <c r="H12" s="7"/>
      <c r="I12" s="7"/>
      <c r="J12" s="7"/>
      <c r="K12" s="7"/>
      <c r="L1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085E-1FCE-DA41-87C6-5EAC74CBFEEB}">
  <dimension ref="A1:D44"/>
  <sheetViews>
    <sheetView topLeftCell="A21" workbookViewId="0">
      <selection activeCell="C41" sqref="C41"/>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 min="5" max="6" width="7.6640625" bestFit="1" customWidth="1"/>
    <col min="7" max="7" width="8" bestFit="1" customWidth="1"/>
    <col min="8" max="8" width="10" bestFit="1" customWidth="1"/>
  </cols>
  <sheetData>
    <row r="1" spans="1:4" x14ac:dyDescent="0.2">
      <c r="A1" s="4" t="s">
        <v>45</v>
      </c>
      <c r="B1" s="4" t="s">
        <v>44</v>
      </c>
    </row>
    <row r="2" spans="1:4" x14ac:dyDescent="0.2">
      <c r="A2" s="4" t="s">
        <v>42</v>
      </c>
      <c r="B2" t="s">
        <v>18</v>
      </c>
      <c r="C2" t="s">
        <v>15</v>
      </c>
      <c r="D2" t="s">
        <v>43</v>
      </c>
    </row>
    <row r="3" spans="1:4" x14ac:dyDescent="0.2">
      <c r="A3" s="5" t="s">
        <v>39</v>
      </c>
      <c r="B3" s="6">
        <v>74000</v>
      </c>
      <c r="C3" s="6">
        <v>58000</v>
      </c>
      <c r="D3" s="6">
        <v>66000</v>
      </c>
    </row>
    <row r="4" spans="1:4" x14ac:dyDescent="0.2">
      <c r="A4" s="5" t="s">
        <v>38</v>
      </c>
      <c r="B4" s="6">
        <v>95000</v>
      </c>
      <c r="C4" s="6">
        <v>82500</v>
      </c>
      <c r="D4" s="6">
        <v>88750</v>
      </c>
    </row>
    <row r="5" spans="1:4" x14ac:dyDescent="0.2">
      <c r="A5" s="5" t="s">
        <v>43</v>
      </c>
      <c r="B5" s="6">
        <v>83333.333333333328</v>
      </c>
      <c r="C5" s="6">
        <v>68888.888888888891</v>
      </c>
      <c r="D5" s="6">
        <v>76111.111111111109</v>
      </c>
    </row>
    <row r="22" spans="1:4" x14ac:dyDescent="0.2">
      <c r="A22" s="4" t="s">
        <v>46</v>
      </c>
      <c r="B22" s="4" t="s">
        <v>44</v>
      </c>
    </row>
    <row r="23" spans="1:4" x14ac:dyDescent="0.2">
      <c r="A23" s="4" t="s">
        <v>42</v>
      </c>
      <c r="B23" t="s">
        <v>18</v>
      </c>
      <c r="C23" t="s">
        <v>15</v>
      </c>
      <c r="D23" t="s">
        <v>43</v>
      </c>
    </row>
    <row r="24" spans="1:4" x14ac:dyDescent="0.2">
      <c r="A24" s="5" t="s">
        <v>16</v>
      </c>
      <c r="B24" s="16">
        <v>6</v>
      </c>
      <c r="C24" s="16">
        <v>4</v>
      </c>
      <c r="D24" s="16">
        <v>10</v>
      </c>
    </row>
    <row r="25" spans="1:4" x14ac:dyDescent="0.2">
      <c r="A25" s="5" t="s">
        <v>26</v>
      </c>
      <c r="B25" s="16"/>
      <c r="C25" s="16">
        <v>1</v>
      </c>
      <c r="D25" s="16">
        <v>1</v>
      </c>
    </row>
    <row r="26" spans="1:4" x14ac:dyDescent="0.2">
      <c r="A26" s="5" t="s">
        <v>22</v>
      </c>
      <c r="B26" s="16"/>
      <c r="C26" s="16">
        <v>1</v>
      </c>
      <c r="D26" s="16">
        <v>1</v>
      </c>
    </row>
    <row r="27" spans="1:4" x14ac:dyDescent="0.2">
      <c r="A27" s="5" t="s">
        <v>23</v>
      </c>
      <c r="B27" s="16">
        <v>1</v>
      </c>
      <c r="C27" s="16">
        <v>3</v>
      </c>
      <c r="D27" s="16">
        <v>4</v>
      </c>
    </row>
    <row r="28" spans="1:4" x14ac:dyDescent="0.2">
      <c r="A28" s="5" t="s">
        <v>47</v>
      </c>
      <c r="B28" s="16">
        <v>2</v>
      </c>
      <c r="C28" s="16"/>
      <c r="D28" s="16">
        <v>2</v>
      </c>
    </row>
    <row r="29" spans="1:4" x14ac:dyDescent="0.2">
      <c r="A29" s="5" t="s">
        <v>43</v>
      </c>
      <c r="B29" s="16">
        <v>9</v>
      </c>
      <c r="C29" s="16">
        <v>9</v>
      </c>
      <c r="D29" s="16">
        <v>18</v>
      </c>
    </row>
    <row r="40" spans="1:4" x14ac:dyDescent="0.2">
      <c r="A40" s="4" t="s">
        <v>46</v>
      </c>
      <c r="B40" s="4" t="s">
        <v>44</v>
      </c>
    </row>
    <row r="41" spans="1:4" x14ac:dyDescent="0.2">
      <c r="A41" s="4" t="s">
        <v>42</v>
      </c>
      <c r="B41" t="s">
        <v>18</v>
      </c>
      <c r="C41" t="s">
        <v>15</v>
      </c>
      <c r="D41" t="s">
        <v>43</v>
      </c>
    </row>
    <row r="42" spans="1:4" x14ac:dyDescent="0.2">
      <c r="A42" s="5" t="s">
        <v>48</v>
      </c>
      <c r="B42" s="16">
        <v>6</v>
      </c>
      <c r="C42" s="16">
        <v>7</v>
      </c>
      <c r="D42" s="16">
        <v>13</v>
      </c>
    </row>
    <row r="43" spans="1:4" x14ac:dyDescent="0.2">
      <c r="A43" s="5" t="s">
        <v>49</v>
      </c>
      <c r="B43" s="16">
        <v>3</v>
      </c>
      <c r="C43" s="16">
        <v>2</v>
      </c>
      <c r="D43" s="16">
        <v>5</v>
      </c>
    </row>
    <row r="44" spans="1:4" x14ac:dyDescent="0.2">
      <c r="A44" s="5" t="s">
        <v>43</v>
      </c>
      <c r="B44" s="16">
        <v>9</v>
      </c>
      <c r="C44" s="16">
        <v>9</v>
      </c>
      <c r="D44" s="16">
        <v>18</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Swarnika karki</cp:lastModifiedBy>
  <dcterms:created xsi:type="dcterms:W3CDTF">2022-03-18T02:50:57Z</dcterms:created>
  <dcterms:modified xsi:type="dcterms:W3CDTF">2026-05-14T17:37:30Z</dcterms:modified>
</cp:coreProperties>
</file>